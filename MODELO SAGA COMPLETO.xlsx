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onsultores" sheetId="1" state="visible" r:id="rId1"/>
    <sheet name="Gerentes" sheetId="2" state="visible" r:id="rId2"/>
    <sheet name="Preço por Unidade" sheetId="3" state="visible" r:id="rId3"/>
    <sheet name="Verbas" sheetId="4" state="visible" r:id="rId4"/>
    <sheet name="Pagamentos" sheetId="5" state="visible" r:id="rId5"/>
    <sheet name="Marketing" sheetId="6" state="visible" r:id="rId6"/>
  </sheets>
  <definedNames>
    <definedName name="_xlnm._FilterDatabase" localSheetId="0" hidden="1">'Consultores'!$A$1:$N$7</definedName>
    <definedName name="_xlnm._FilterDatabase" localSheetId="1" hidden="1">'Gerentes'!$A$1:$N$3</definedName>
    <definedName name="_xlnm._FilterDatabase" localSheetId="2" hidden="1">'Preço por Unidade'!$A$1:$D$14</definedName>
    <definedName name="_xlnm._FilterDatabase" localSheetId="3" hidden="1">'Verbas'!$A$1:$J$1</definedName>
    <definedName name="_xlnm._FilterDatabase" localSheetId="4" hidden="1">'Pagamentos'!$A$1:$C$1</definedName>
    <definedName name="_xlnm._FilterDatabase" localSheetId="5" hidden="1">'Marketing'!$A$1:$B$1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/yyyy"/>
    <numFmt numFmtId="165" formatCode="0.0%"/>
    <numFmt numFmtId="166" formatCode="\R\$\ #,##0.00"/>
  </numFmts>
  <fonts count="6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4F6FA"/>
      </patternFill>
    </fill>
    <fill>
      <patternFill patternType="solid">
        <fgColor rgb="0016376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3" fillId="0" borderId="0"/>
    <xf numFmtId="9" fontId="3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6" fontId="2" fillId="3" borderId="1" pivotButton="0" quotePrefix="0" xfId="0"/>
    <xf numFmtId="0" fontId="2" fillId="0" borderId="1" pivotButton="0" quotePrefix="0" xfId="0"/>
    <xf numFmtId="166" fontId="2" fillId="0" borderId="1" pivotButton="0" quotePrefix="0" xfId="0"/>
    <xf numFmtId="0" fontId="2" fillId="3" borderId="2" pivotButton="0" quotePrefix="0" xfId="0"/>
    <xf numFmtId="17" fontId="2" fillId="3" borderId="1" pivotButton="0" quotePrefix="0" xfId="0"/>
    <xf numFmtId="3" fontId="0" fillId="0" borderId="0" pivotButton="0" quotePrefix="0" xfId="0"/>
    <xf numFmtId="165" fontId="0" fillId="0" borderId="0" pivotButton="0" quotePrefix="0" xfId="1"/>
    <xf numFmtId="0" fontId="5" fillId="4" borderId="1" applyAlignment="1" pivotButton="0" quotePrefix="0" xfId="0">
      <alignment horizontal="center" vertical="center" wrapText="1"/>
    </xf>
    <xf numFmtId="0" fontId="5" fillId="4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M5" sqref="M5"/>
    </sheetView>
  </sheetViews>
  <sheetFormatPr baseColWidth="8" defaultRowHeight="14.4"/>
  <cols>
    <col width="23" bestFit="1" customWidth="1" min="1" max="1"/>
    <col width="23" bestFit="1" customWidth="1" min="2" max="2"/>
    <col width="23" bestFit="1" customWidth="1" min="3" max="3"/>
    <col width="23" bestFit="1" customWidth="1" min="4" max="4"/>
    <col width="23" bestFit="1" customWidth="1" min="5" max="5"/>
    <col width="23" bestFit="1" customWidth="1" min="6" max="6"/>
    <col width="23" bestFit="1" customWidth="1" min="7" max="7"/>
    <col width="23" bestFit="1" customWidth="1" min="8" max="8"/>
    <col width="23" bestFit="1" customWidth="1" min="9" max="9"/>
    <col width="23" bestFit="1" customWidth="1" min="10" max="10"/>
    <col width="23" bestFit="1" customWidth="1" min="11" max="11"/>
    <col width="23" bestFit="1" customWidth="1" min="12" max="12"/>
    <col width="23" bestFit="1" customWidth="1" min="13" max="14"/>
    <col width="23" customWidth="1" min="14" max="14"/>
  </cols>
  <sheetData>
    <row r="1" ht="39.6" customHeight="1">
      <c r="A1" s="13" t="inlineStr">
        <is>
          <t>Consultor</t>
        </is>
      </c>
      <c r="B1" s="13" t="inlineStr">
        <is>
          <t>Loja</t>
        </is>
      </c>
      <c r="C1" s="13" t="inlineStr">
        <is>
          <t>Marca</t>
        </is>
      </c>
      <c r="D1" s="13" t="inlineStr">
        <is>
          <t>Mês (data)</t>
        </is>
      </c>
      <c r="E1" s="13" t="inlineStr">
        <is>
          <t>Mês</t>
        </is>
      </c>
      <c r="F1" s="13" t="inlineStr">
        <is>
          <t>Passagens</t>
        </is>
      </c>
      <c r="G1" s="13" t="inlineStr">
        <is>
          <t>Refil Diant. (qtd)</t>
        </is>
      </c>
      <c r="H1" s="13" t="inlineStr">
        <is>
          <t>Refil Tras. (qtd)</t>
        </is>
      </c>
      <c r="I1" s="13" t="inlineStr">
        <is>
          <t>Aproveitamento</t>
        </is>
      </c>
      <c r="J1" s="13" t="inlineStr">
        <is>
          <t>Total Diant. (R$)</t>
        </is>
      </c>
      <c r="K1" s="13" t="inlineStr">
        <is>
          <t>Total Tras. (R$)</t>
        </is>
      </c>
      <c r="L1" s="13" t="inlineStr">
        <is>
          <t>Total Geral (R$)</t>
        </is>
      </c>
      <c r="M1" s="13" t="inlineStr">
        <is>
          <t>Preço Diant. (R$)</t>
        </is>
      </c>
      <c r="N1" s="13" t="inlineStr">
        <is>
          <t>Preço Tras. (R$)</t>
        </is>
      </c>
    </row>
    <row r="2">
      <c r="A2" s="2" t="inlineStr">
        <is>
          <t>Consultor 1</t>
        </is>
      </c>
      <c r="B2" s="2" t="inlineStr">
        <is>
          <t>Loja 1</t>
        </is>
      </c>
      <c r="C2" s="2" t="inlineStr">
        <is>
          <t>Volkswagen</t>
        </is>
      </c>
      <c r="D2" s="3" t="n">
        <v>46266</v>
      </c>
      <c r="E2" s="10" t="n">
        <v>46266</v>
      </c>
      <c r="F2" s="4" t="n">
        <v>94</v>
      </c>
      <c r="G2" s="4" t="n">
        <v>15</v>
      </c>
      <c r="H2" s="4" t="n">
        <v>11</v>
      </c>
      <c r="I2" s="5">
        <f>G2/F2</f>
        <v/>
      </c>
      <c r="J2" s="6" t="n">
        <v>150</v>
      </c>
      <c r="K2" s="6" t="n">
        <v>55</v>
      </c>
      <c r="L2" s="6" t="n">
        <v>205</v>
      </c>
      <c r="M2" s="6" t="n">
        <v>10</v>
      </c>
      <c r="N2" s="6" t="n">
        <v>5</v>
      </c>
    </row>
    <row r="3">
      <c r="A3" s="2" t="inlineStr">
        <is>
          <t>Consultor 2</t>
        </is>
      </c>
      <c r="B3" s="2" t="inlineStr">
        <is>
          <t>Loja 1</t>
        </is>
      </c>
      <c r="C3" s="2" t="inlineStr">
        <is>
          <t>Volkswagen</t>
        </is>
      </c>
      <c r="D3" s="3" t="n">
        <v>46266</v>
      </c>
      <c r="E3" s="10" t="n">
        <v>46266</v>
      </c>
      <c r="F3" s="4" t="n">
        <v>73</v>
      </c>
      <c r="G3" s="4" t="n">
        <v>44</v>
      </c>
      <c r="H3" s="4" t="n">
        <v>18</v>
      </c>
      <c r="I3" s="5">
        <f>G3/F3</f>
        <v/>
      </c>
      <c r="J3" s="6" t="n">
        <v>440</v>
      </c>
      <c r="K3" s="6" t="n">
        <v>90</v>
      </c>
      <c r="L3" s="6" t="n">
        <v>530</v>
      </c>
      <c r="M3" s="6" t="n">
        <v>10</v>
      </c>
      <c r="N3" s="6" t="n">
        <v>5</v>
      </c>
    </row>
    <row r="4">
      <c r="A4" s="2" t="inlineStr">
        <is>
          <t>Consultor 3</t>
        </is>
      </c>
      <c r="B4" s="2" t="inlineStr">
        <is>
          <t>Loja 1</t>
        </is>
      </c>
      <c r="C4" s="2" t="inlineStr">
        <is>
          <t>Volkswagen</t>
        </is>
      </c>
      <c r="D4" s="3" t="n">
        <v>46266</v>
      </c>
      <c r="E4" s="10" t="n">
        <v>46266</v>
      </c>
      <c r="F4" s="4" t="n">
        <v>70</v>
      </c>
      <c r="G4" s="4" t="n">
        <v>15</v>
      </c>
      <c r="H4" s="4" t="n">
        <v>10</v>
      </c>
      <c r="I4" s="5">
        <f>G4/F4</f>
        <v/>
      </c>
      <c r="J4" s="6" t="n">
        <v>150</v>
      </c>
      <c r="K4" s="6" t="n">
        <v>50</v>
      </c>
      <c r="L4" s="6" t="n">
        <v>200</v>
      </c>
      <c r="M4" s="6" t="n">
        <v>10</v>
      </c>
      <c r="N4" s="6" t="n">
        <v>5</v>
      </c>
    </row>
    <row r="5">
      <c r="A5" s="2" t="inlineStr">
        <is>
          <t>Consultor 4</t>
        </is>
      </c>
      <c r="B5" s="9" t="inlineStr">
        <is>
          <t>Loja 2</t>
        </is>
      </c>
      <c r="C5" s="2" t="inlineStr">
        <is>
          <t>Volkswagen</t>
        </is>
      </c>
      <c r="D5" s="3" t="n">
        <v>46266</v>
      </c>
      <c r="E5" s="10" t="n">
        <v>46266</v>
      </c>
      <c r="F5" s="4" t="n">
        <v>70</v>
      </c>
      <c r="G5" s="4" t="n">
        <v>40</v>
      </c>
      <c r="H5" s="4" t="n">
        <v>5</v>
      </c>
      <c r="I5" s="5">
        <f>G5/F5</f>
        <v/>
      </c>
      <c r="J5" s="6" t="n">
        <v>400</v>
      </c>
      <c r="K5" s="6" t="n">
        <v>25</v>
      </c>
      <c r="L5" s="6" t="n">
        <v>425</v>
      </c>
      <c r="M5" s="6" t="n">
        <v>10</v>
      </c>
      <c r="N5" s="6" t="n">
        <v>5</v>
      </c>
    </row>
    <row r="6">
      <c r="A6" s="2" t="inlineStr">
        <is>
          <t>Consultor 5</t>
        </is>
      </c>
      <c r="B6" s="9" t="inlineStr">
        <is>
          <t>Loja 2</t>
        </is>
      </c>
      <c r="C6" s="2" t="inlineStr">
        <is>
          <t>Volkswagen</t>
        </is>
      </c>
      <c r="D6" s="3" t="n">
        <v>46266</v>
      </c>
      <c r="E6" s="10" t="n">
        <v>46266</v>
      </c>
      <c r="F6" s="4" t="n">
        <v>68</v>
      </c>
      <c r="G6" s="4" t="n">
        <v>50</v>
      </c>
      <c r="H6" s="4" t="n">
        <v>8</v>
      </c>
      <c r="I6" s="5">
        <f>G6/F6</f>
        <v/>
      </c>
      <c r="J6" s="6" t="n">
        <v>500</v>
      </c>
      <c r="K6" s="6" t="n">
        <v>40</v>
      </c>
      <c r="L6" s="6" t="n">
        <v>540</v>
      </c>
      <c r="M6" s="6" t="n">
        <v>10</v>
      </c>
      <c r="N6" s="6" t="n">
        <v>5</v>
      </c>
    </row>
    <row r="7">
      <c r="A7" s="2" t="inlineStr">
        <is>
          <t>Consultor 6</t>
        </is>
      </c>
      <c r="B7" s="9" t="inlineStr">
        <is>
          <t>Loja 2</t>
        </is>
      </c>
      <c r="C7" s="2" t="inlineStr">
        <is>
          <t>Volkswagen</t>
        </is>
      </c>
      <c r="D7" s="3" t="n">
        <v>46266</v>
      </c>
      <c r="E7" s="10" t="n">
        <v>46266</v>
      </c>
      <c r="F7" s="4" t="n">
        <v>53</v>
      </c>
      <c r="G7" s="4" t="n">
        <v>35</v>
      </c>
      <c r="H7" s="4" t="n">
        <v>5</v>
      </c>
      <c r="I7" s="5">
        <f>G7/F7</f>
        <v/>
      </c>
      <c r="J7" s="6" t="n">
        <v>350</v>
      </c>
      <c r="K7" s="6" t="n">
        <v>25</v>
      </c>
      <c r="L7" s="6" t="n">
        <v>375</v>
      </c>
      <c r="M7" s="6" t="n">
        <v>10</v>
      </c>
      <c r="N7" s="6" t="n">
        <v>5</v>
      </c>
    </row>
  </sheetData>
  <autoFilter ref="A1:N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pane ySplit="1" topLeftCell="A2" activePane="bottomLeft" state="frozen"/>
      <selection pane="bottomLeft" activeCell="G27" sqref="G27"/>
    </sheetView>
  </sheetViews>
  <sheetFormatPr baseColWidth="8" defaultRowHeight="14.4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9.6" customHeight="1">
      <c r="A1" s="13" t="inlineStr">
        <is>
          <t>Gerente</t>
        </is>
      </c>
      <c r="B1" s="13" t="inlineStr">
        <is>
          <t>Loja</t>
        </is>
      </c>
      <c r="C1" s="13" t="inlineStr">
        <is>
          <t>Marca</t>
        </is>
      </c>
      <c r="D1" s="13" t="inlineStr">
        <is>
          <t>Mês (data)</t>
        </is>
      </c>
      <c r="E1" s="13" t="inlineStr">
        <is>
          <t>Mês</t>
        </is>
      </c>
      <c r="F1" s="13" t="inlineStr">
        <is>
          <t>Passagens</t>
        </is>
      </c>
      <c r="G1" s="13" t="inlineStr">
        <is>
          <t>Refil Diant. (qtd)</t>
        </is>
      </c>
      <c r="H1" s="13" t="inlineStr">
        <is>
          <t>Refil Tras. (qtd)</t>
        </is>
      </c>
      <c r="I1" s="13" t="inlineStr">
        <is>
          <t>Aproveitamento</t>
        </is>
      </c>
      <c r="J1" s="13" t="inlineStr">
        <is>
          <t>Total Diant. (R$)</t>
        </is>
      </c>
      <c r="K1" s="13" t="inlineStr">
        <is>
          <t>Total Tras. (R$)</t>
        </is>
      </c>
      <c r="L1" s="13" t="inlineStr">
        <is>
          <t>Total Geral (R$)</t>
        </is>
      </c>
      <c r="M1" s="13" t="inlineStr">
        <is>
          <t>Preço Diant. (R$)</t>
        </is>
      </c>
      <c r="N1" s="13" t="inlineStr">
        <is>
          <t>Preço Tras. (R$)</t>
        </is>
      </c>
    </row>
    <row r="2">
      <c r="A2" t="inlineStr">
        <is>
          <t>Gerente 1</t>
        </is>
      </c>
      <c r="B2" s="2" t="inlineStr">
        <is>
          <t>Loja 1</t>
        </is>
      </c>
      <c r="C2" s="2" t="inlineStr">
        <is>
          <t>Volkswagen</t>
        </is>
      </c>
      <c r="D2" s="3" t="n">
        <v>46266</v>
      </c>
      <c r="E2" s="10" t="n">
        <v>46266</v>
      </c>
      <c r="F2" s="11" t="n">
        <v>237</v>
      </c>
      <c r="G2" s="11" t="n">
        <v>74</v>
      </c>
      <c r="H2" s="11" t="n">
        <v>39</v>
      </c>
      <c r="I2" s="12" t="n">
        <v>0.3122362869198312</v>
      </c>
      <c r="J2" s="3" t="n">
        <v>46266</v>
      </c>
      <c r="K2" s="10" t="n">
        <v>46266</v>
      </c>
      <c r="L2" t="n">
        <v>935</v>
      </c>
      <c r="M2" s="6" t="n">
        <v>10</v>
      </c>
      <c r="N2" s="6" t="n">
        <v>5</v>
      </c>
    </row>
    <row r="3">
      <c r="A3" t="inlineStr">
        <is>
          <t>Gerente 2</t>
        </is>
      </c>
      <c r="B3" s="7" t="inlineStr">
        <is>
          <t>Loja 2</t>
        </is>
      </c>
      <c r="C3" s="2" t="inlineStr">
        <is>
          <t>Volkswagen</t>
        </is>
      </c>
      <c r="D3" s="3" t="n">
        <v>46266</v>
      </c>
      <c r="E3" s="10" t="n">
        <v>46266</v>
      </c>
      <c r="F3" s="11" t="n">
        <v>191</v>
      </c>
      <c r="G3" s="11" t="n">
        <v>125</v>
      </c>
      <c r="H3" s="11" t="n">
        <v>18</v>
      </c>
      <c r="I3" s="12" t="n">
        <v>0.6544502617801047</v>
      </c>
      <c r="J3" s="3" t="n">
        <v>46266</v>
      </c>
      <c r="K3" s="10" t="n">
        <v>46266</v>
      </c>
      <c r="L3" t="n">
        <v>1340</v>
      </c>
      <c r="M3" s="6" t="n">
        <v>10</v>
      </c>
      <c r="N3" s="6" t="n">
        <v>5</v>
      </c>
    </row>
  </sheetData>
  <autoFilter ref="A1:N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H15" sqref="H15"/>
    </sheetView>
  </sheetViews>
  <sheetFormatPr baseColWidth="8" defaultRowHeight="14.4"/>
  <cols>
    <col width="23" bestFit="1" customWidth="1" min="1" max="1"/>
    <col width="23" bestFit="1" customWidth="1" min="2" max="2"/>
    <col width="23" bestFit="1" customWidth="1" min="3" max="4"/>
    <col width="23" customWidth="1" min="4" max="4"/>
  </cols>
  <sheetData>
    <row r="1" ht="39.6" customHeight="1">
      <c r="A1" s="13" t="inlineStr">
        <is>
          <t>Loja</t>
        </is>
      </c>
      <c r="B1" s="13" t="inlineStr">
        <is>
          <t>Marca</t>
        </is>
      </c>
      <c r="C1" s="13" t="inlineStr">
        <is>
          <t>Preço Diant. (R$)</t>
        </is>
      </c>
      <c r="D1" s="13" t="inlineStr">
        <is>
          <t>Preço Tras. (R$)</t>
        </is>
      </c>
    </row>
    <row r="2">
      <c r="A2" s="2" t="inlineStr">
        <is>
          <t>Loja 1</t>
        </is>
      </c>
      <c r="B2" s="2" t="inlineStr">
        <is>
          <t>Volkswagen</t>
        </is>
      </c>
      <c r="C2" s="6" t="n">
        <v>10</v>
      </c>
      <c r="D2" s="6" t="n">
        <v>5</v>
      </c>
    </row>
    <row r="3">
      <c r="A3" s="7" t="inlineStr">
        <is>
          <t>Loja 2</t>
        </is>
      </c>
      <c r="B3" s="2" t="inlineStr">
        <is>
          <t>Volkswagen</t>
        </is>
      </c>
      <c r="C3" s="6" t="n">
        <v>10</v>
      </c>
      <c r="D3" s="6" t="n">
        <v>5</v>
      </c>
    </row>
    <row r="4">
      <c r="A4" s="2" t="n"/>
      <c r="B4" s="2" t="n"/>
      <c r="C4" s="6" t="n"/>
      <c r="D4" s="6" t="n"/>
    </row>
    <row r="5">
      <c r="A5" s="7" t="n"/>
      <c r="B5" s="7" t="n"/>
      <c r="C5" s="8" t="n"/>
      <c r="D5" s="8" t="n"/>
    </row>
    <row r="6">
      <c r="A6" s="7" t="n"/>
      <c r="B6" s="7" t="n"/>
      <c r="C6" s="8" t="n"/>
      <c r="D6" s="8" t="n"/>
    </row>
    <row r="7">
      <c r="A7" s="2" t="n"/>
      <c r="B7" s="2" t="n"/>
      <c r="C7" s="6" t="n"/>
      <c r="D7" s="6" t="n"/>
    </row>
    <row r="8">
      <c r="A8" s="2" t="n"/>
      <c r="B8" s="2" t="n"/>
      <c r="C8" s="6" t="n"/>
      <c r="D8" s="6" t="n"/>
    </row>
    <row r="9">
      <c r="A9" s="7" t="n"/>
      <c r="B9" s="7" t="n"/>
      <c r="C9" s="8" t="n"/>
      <c r="D9" s="8" t="n"/>
    </row>
    <row r="10">
      <c r="A10" s="7" t="n"/>
      <c r="B10" s="7" t="n"/>
      <c r="C10" s="8" t="n"/>
      <c r="D10" s="8" t="n"/>
    </row>
    <row r="11">
      <c r="A11" s="7" t="n"/>
      <c r="B11" s="7" t="n"/>
      <c r="C11" s="8" t="n"/>
      <c r="D11" s="8" t="n"/>
    </row>
    <row r="12">
      <c r="A12" s="2" t="n"/>
      <c r="B12" s="2" t="n"/>
      <c r="C12" s="6" t="n"/>
      <c r="D12" s="6" t="n"/>
    </row>
    <row r="13">
      <c r="A13" s="2" t="n"/>
      <c r="B13" s="2" t="n"/>
      <c r="C13" s="6" t="n"/>
      <c r="D13" s="6" t="n"/>
    </row>
    <row r="14">
      <c r="A14" s="2" t="n"/>
      <c r="B14" s="2" t="n"/>
      <c r="C14" s="6" t="n"/>
      <c r="D14" s="6" t="n"/>
    </row>
  </sheetData>
  <autoFilter ref="A1:D1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4" t="inlineStr">
        <is>
          <t>Data</t>
        </is>
      </c>
      <c r="B1" s="14" t="inlineStr">
        <is>
          <t>Pedido</t>
        </is>
      </c>
      <c r="C1" s="14" t="inlineStr">
        <is>
          <t>Cliente</t>
        </is>
      </c>
      <c r="D1" s="14" t="inlineStr">
        <is>
          <t>Produto</t>
        </is>
      </c>
      <c r="E1" s="14" t="inlineStr">
        <is>
          <t>Tipo</t>
        </is>
      </c>
      <c r="F1" s="14" t="inlineStr">
        <is>
          <t>Quantidade</t>
        </is>
      </c>
      <c r="G1" s="14" t="inlineStr">
        <is>
          <t>Preço Unitário</t>
        </is>
      </c>
      <c r="H1" s="14" t="inlineStr">
        <is>
          <t>Verba Consultor</t>
        </is>
      </c>
      <c r="I1" s="14" t="inlineStr">
        <is>
          <t>Verba Gerente</t>
        </is>
      </c>
      <c r="J1" s="14" t="inlineStr">
        <is>
          <t>Verba Marketing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4" t="inlineStr">
        <is>
          <t>Mês</t>
        </is>
      </c>
      <c r="B1" s="14" t="inlineStr">
        <is>
          <t>Consultor Pago</t>
        </is>
      </c>
      <c r="C1" s="14" t="inlineStr">
        <is>
          <t>Gerente Pago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4" t="inlineStr">
        <is>
          <t>Mês</t>
        </is>
      </c>
      <c r="B1" s="14" t="inlineStr">
        <is>
          <t>Valor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Iasmin Baciega</dc:creator>
  <dcterms:created xsi:type="dcterms:W3CDTF">2026-06-19T18:31:30Z</dcterms:created>
  <dcterms:modified xsi:type="dcterms:W3CDTF">2026-09-18T20:35:51Z</dcterms:modified>
  <cp:lastModifiedBy>Iasmin Baciega</cp:lastModifiedBy>
</cp:coreProperties>
</file>